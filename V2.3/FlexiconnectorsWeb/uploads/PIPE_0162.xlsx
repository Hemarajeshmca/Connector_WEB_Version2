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n rAjA\Downloads\"/>
    </mc:Choice>
  </mc:AlternateContent>
  <bookViews>
    <workbookView xWindow="0" yWindow="0" windowWidth="19200" windowHeight="8390" activeTab="2"/>
  </bookViews>
  <sheets>
    <sheet name="CA-DocsubType Master" sheetId="1" r:id="rId1"/>
    <sheet name="NSDL" sheetId="2" r:id="rId2"/>
    <sheet name="CDSL" sheetId="3" r:id="rId3"/>
  </sheets>
  <definedNames>
    <definedName name="_xlnm._FilterDatabase" localSheetId="2" hidden="1">CDSL!$C$1:$C$30</definedName>
    <definedName name="_xlnm._FilterDatabase" localSheetId="1" hidden="1">NSDL!$C$1:$C$40</definedName>
  </definedNames>
  <calcPr calcId="152511"/>
</workbook>
</file>

<file path=xl/calcChain.xml><?xml version="1.0" encoding="utf-8"?>
<calcChain xmlns="http://schemas.openxmlformats.org/spreadsheetml/2006/main">
  <c r="D15" i="3" l="1"/>
  <c r="D14" i="3"/>
  <c r="D12" i="3"/>
  <c r="D10" i="3"/>
  <c r="D30" i="3"/>
  <c r="D29" i="3"/>
  <c r="D28" i="3"/>
  <c r="D27" i="3"/>
  <c r="D25" i="3"/>
  <c r="D19" i="3"/>
  <c r="D18" i="3"/>
  <c r="D17" i="3"/>
  <c r="D9" i="3"/>
  <c r="D8" i="3"/>
  <c r="D7" i="3"/>
  <c r="D6" i="3"/>
  <c r="D5" i="3"/>
  <c r="D4" i="3"/>
  <c r="D40" i="2"/>
  <c r="D39" i="2"/>
  <c r="D38" i="2"/>
  <c r="D37" i="2"/>
  <c r="D36" i="2"/>
  <c r="D35" i="2"/>
  <c r="D33" i="2"/>
  <c r="D32" i="2"/>
  <c r="D29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3" i="2"/>
  <c r="D12" i="2"/>
  <c r="D10" i="2"/>
  <c r="D8" i="2"/>
  <c r="D6" i="2"/>
  <c r="D3" i="2"/>
  <c r="D4" i="2"/>
  <c r="D5" i="2"/>
  <c r="D2" i="2"/>
</calcChain>
</file>

<file path=xl/sharedStrings.xml><?xml version="1.0" encoding="utf-8"?>
<sst xmlns="http://schemas.openxmlformats.org/spreadsheetml/2006/main" count="192" uniqueCount="90">
  <si>
    <t>docsubtype_gid</t>
  </si>
  <si>
    <t>trantype_code</t>
  </si>
  <si>
    <t>docsubtype_code</t>
  </si>
  <si>
    <t>docsubtype_desc</t>
  </si>
  <si>
    <t>delete_flag</t>
  </si>
  <si>
    <t>AM</t>
  </si>
  <si>
    <t>NSDL_BI</t>
  </si>
  <si>
    <t>Bonus Issue</t>
  </si>
  <si>
    <t>N</t>
  </si>
  <si>
    <t>NSDL_BB</t>
  </si>
  <si>
    <t>Buy back of shares (Tender offer)</t>
  </si>
  <si>
    <t>NSDL_OM</t>
  </si>
  <si>
    <t>Buy-back of shares (open market)</t>
  </si>
  <si>
    <t>NSDL_PM</t>
  </si>
  <si>
    <t>Preferential Allotment</t>
  </si>
  <si>
    <t>CDSL_BI</t>
  </si>
  <si>
    <t>CDSL_RI</t>
  </si>
  <si>
    <t>Rights Issue</t>
  </si>
  <si>
    <t>CDSL_EEA</t>
  </si>
  <si>
    <t>ESOS/ESOP/ASOP</t>
  </si>
  <si>
    <t>CDSL_PQ</t>
  </si>
  <si>
    <t>Preferential Allotment / QIP Allotment</t>
  </si>
  <si>
    <t>CDSL_MA</t>
  </si>
  <si>
    <t>Subscription to MOA (Memorandum of Association)</t>
  </si>
  <si>
    <t>IPO / FPO</t>
  </si>
  <si>
    <t>Offer for Sale</t>
  </si>
  <si>
    <t>Sub-Division Consolidation</t>
  </si>
  <si>
    <t>Allotment / Conversion of FCCBs / GDRs</t>
  </si>
  <si>
    <t>Conversion of Debts / Warrants / Convertible Notes / Preference Shares</t>
  </si>
  <si>
    <t>Conversion of Partly paid up to Partly paid up shares / Partly paid up to Fully paid up shares / Non Pari Pasu to Pari Pasu Shares</t>
  </si>
  <si>
    <t>Allotment / Redemption of Commercial Papers</t>
  </si>
  <si>
    <t>Allotment / Bonus / Sub-division of Mutual Fund Units</t>
  </si>
  <si>
    <t>Extinguishment of Equity Shares Bought Back</t>
  </si>
  <si>
    <t>Others (Option/Rejected Cases / Debit / Credit Corporate Action)</t>
  </si>
  <si>
    <t>Others (Allotment of Abeyance Shares)</t>
  </si>
  <si>
    <t>Forfeiture of Equity Shares</t>
  </si>
  <si>
    <t>Allotment / Redemption of Certificate of Deposit</t>
  </si>
  <si>
    <t>Allotment / Redemption of PTC</t>
  </si>
  <si>
    <t>Documents for Re-issue of Forfeited Equity Shares</t>
  </si>
  <si>
    <t>Allotment of Mutual Fund Scheme (NFO Allotment)</t>
  </si>
  <si>
    <t>Transfer of Lock-in Shares (In case of Account Shifting)</t>
  </si>
  <si>
    <t>Transfer of Shares to IEPF Account</t>
  </si>
  <si>
    <t>Transfer of Lock-in securities</t>
  </si>
  <si>
    <t>Incorporation/ Extension of Lock-in securities</t>
  </si>
  <si>
    <t>SLNO</t>
  </si>
  <si>
    <t>DOC SUB TYPE LIST FOR CDSL</t>
  </si>
  <si>
    <t>DOC SUB TYPE LIST FOR NSDL</t>
  </si>
  <si>
    <t>Conversion from Partly paid to Fully paid</t>
  </si>
  <si>
    <t>Demerger</t>
  </si>
  <si>
    <t>Forfeiture of shares</t>
  </si>
  <si>
    <t>Incorporation of lock</t>
  </si>
  <si>
    <t>Initial Public Issue of shares</t>
  </si>
  <si>
    <t>Issue of Warrants</t>
  </si>
  <si>
    <t>Right Issue</t>
  </si>
  <si>
    <t>Rejected Cases</t>
  </si>
  <si>
    <t>Scheme of Amalgamation</t>
  </si>
  <si>
    <t>Sub-division of shares</t>
  </si>
  <si>
    <t>Transfer of shares from Unclaimed Suspense/Escrow Account</t>
  </si>
  <si>
    <t>Transmission of lock-in securities</t>
  </si>
  <si>
    <t>Transfer of lock-in Securities</t>
  </si>
  <si>
    <t>Transfer of lock-in securities due to change in Demat Account</t>
  </si>
  <si>
    <t>Transfer of shares to Demat Account of the IEPF Authority</t>
  </si>
  <si>
    <t>Transfer of shares with removal of lock in</t>
  </si>
  <si>
    <t>Transfer of shares with Incorporation of lock in</t>
  </si>
  <si>
    <t>Transfer of shares pursuant to section 236</t>
  </si>
  <si>
    <t>Transfer of shares held under suspended ISIN</t>
  </si>
  <si>
    <t>Transfer of lock in</t>
  </si>
  <si>
    <t>Removal of lock in</t>
  </si>
  <si>
    <t>Reissue of forfeited shares</t>
  </si>
  <si>
    <t>Rectification</t>
  </si>
  <si>
    <t>Reclassification of Shares</t>
  </si>
  <si>
    <t>Public Offer</t>
  </si>
  <si>
    <t>Preference Shares Redemption</t>
  </si>
  <si>
    <t>Preference Shares Issue</t>
  </si>
  <si>
    <t>Option cases - physical to demat</t>
  </si>
  <si>
    <t>Issue of ESOP</t>
  </si>
  <si>
    <t>Initial Subscription</t>
  </si>
  <si>
    <t>IBC Schemes</t>
  </si>
  <si>
    <t>Fraction entitlement</t>
  </si>
  <si>
    <t>Consolidation of Shares</t>
  </si>
  <si>
    <t>Capital Reduction</t>
  </si>
  <si>
    <t>NR</t>
  </si>
  <si>
    <t>OK</t>
  </si>
  <si>
    <t>Reduction in Share Capital</t>
  </si>
  <si>
    <t>A</t>
  </si>
  <si>
    <t>Allotment / Redemption of Deb / Bonds / Pref Shares</t>
  </si>
  <si>
    <t>Others (Debit / Credit CA / Rectification of Erroneous CA)</t>
  </si>
  <si>
    <t>Docs for Additional / Pref Allotment of Equity Shares (Unlisted Comp)</t>
  </si>
  <si>
    <t>Conversion of warrants / Pref Shares / Bonds / Debenture into equity shares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</si>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</sst>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D8" sqref="D8"/>
    </sheetView>
  </sheetViews>
  <sheetFormatPr defaultRowHeight="14.5" x14ac:dyDescent="0.35"/>
  <cols>
    <col min="1" max="1" width="14" bestFit="1" customWidth="1"/>
    <col min="2" max="2" width="13" bestFit="1" customWidth="1"/>
    <col min="3" max="3" width="15.54296875" bestFit="1" customWidth="1"/>
    <col min="4" max="4" width="44.6328125" bestFit="1" customWidth="1"/>
    <col min="5" max="5" width="10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15</v>
      </c>
      <c r="B2" t="s">
        <v>5</v>
      </c>
      <c r="C2" t="s">
        <v>6</v>
      </c>
      <c r="D2" t="s">
        <v>7</v>
      </c>
      <c r="E2" t="s">
        <v>8</v>
      </c>
      <c r="F2" t="s">
        <v>82</v>
      </c>
    </row>
    <row r="3" spans="1:6" x14ac:dyDescent="0.35">
      <c r="A3">
        <v>16</v>
      </c>
      <c r="B3" t="s">
        <v>5</v>
      </c>
      <c r="C3" t="s">
        <v>9</v>
      </c>
      <c r="D3" t="s">
        <v>10</v>
      </c>
      <c r="E3" t="s">
        <v>8</v>
      </c>
      <c r="F3" t="s">
        <v>82</v>
      </c>
    </row>
    <row r="4" spans="1:6" x14ac:dyDescent="0.35">
      <c r="A4">
        <v>17</v>
      </c>
      <c r="B4" t="s">
        <v>5</v>
      </c>
      <c r="C4" t="s">
        <v>11</v>
      </c>
      <c r="D4" t="s">
        <v>12</v>
      </c>
      <c r="E4" t="s">
        <v>8</v>
      </c>
      <c r="F4" t="s">
        <v>82</v>
      </c>
    </row>
    <row r="5" spans="1:6" x14ac:dyDescent="0.35">
      <c r="A5">
        <v>18</v>
      </c>
      <c r="B5" t="s">
        <v>5</v>
      </c>
      <c r="C5" t="s">
        <v>13</v>
      </c>
      <c r="D5" t="s">
        <v>14</v>
      </c>
      <c r="E5" t="s">
        <v>8</v>
      </c>
      <c r="F5" t="s">
        <v>82</v>
      </c>
    </row>
    <row r="6" spans="1:6" x14ac:dyDescent="0.35">
      <c r="A6">
        <v>19</v>
      </c>
      <c r="B6" t="s">
        <v>5</v>
      </c>
      <c r="C6" t="s">
        <v>15</v>
      </c>
      <c r="D6" t="s">
        <v>7</v>
      </c>
      <c r="E6" t="s">
        <v>8</v>
      </c>
      <c r="F6" t="s">
        <v>82</v>
      </c>
    </row>
    <row r="7" spans="1:6" x14ac:dyDescent="0.35">
      <c r="A7">
        <v>20</v>
      </c>
      <c r="B7" t="s">
        <v>5</v>
      </c>
      <c r="C7" t="s">
        <v>16</v>
      </c>
      <c r="D7" t="s">
        <v>17</v>
      </c>
      <c r="E7" t="s">
        <v>8</v>
      </c>
      <c r="F7" t="s">
        <v>82</v>
      </c>
    </row>
    <row r="8" spans="1:6" x14ac:dyDescent="0.35">
      <c r="A8">
        <v>21</v>
      </c>
      <c r="B8" t="s">
        <v>5</v>
      </c>
      <c r="C8" t="s">
        <v>18</v>
      </c>
      <c r="D8" t="s">
        <v>19</v>
      </c>
      <c r="E8" t="s">
        <v>8</v>
      </c>
      <c r="F8" t="s">
        <v>82</v>
      </c>
    </row>
    <row r="9" spans="1:6" x14ac:dyDescent="0.35">
      <c r="A9">
        <v>22</v>
      </c>
      <c r="B9" t="s">
        <v>5</v>
      </c>
      <c r="C9" t="s">
        <v>20</v>
      </c>
      <c r="D9" t="s">
        <v>21</v>
      </c>
      <c r="E9" t="s">
        <v>8</v>
      </c>
      <c r="F9" t="s">
        <v>82</v>
      </c>
    </row>
    <row r="10" spans="1:6" x14ac:dyDescent="0.35">
      <c r="A10">
        <v>23</v>
      </c>
      <c r="B10" t="s">
        <v>5</v>
      </c>
      <c r="C10" t="s">
        <v>22</v>
      </c>
      <c r="D10" t="s">
        <v>23</v>
      </c>
      <c r="E10" t="s">
        <v>8</v>
      </c>
      <c r="F10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40"/>
  <sheetViews>
    <sheetView workbookViewId="0">
      <selection activeCell="D2" sqref="D2"/>
    </sheetView>
  </sheetViews>
  <sheetFormatPr defaultRowHeight="14.5" x14ac:dyDescent="0.35"/>
  <cols>
    <col min="1" max="1" width="5.1796875" bestFit="1" customWidth="1"/>
    <col min="2" max="2" width="128.36328125" bestFit="1" customWidth="1"/>
  </cols>
  <sheetData>
    <row r="1" spans="1:4" x14ac:dyDescent="0.35">
      <c r="A1" s="1" t="s">
        <v>44</v>
      </c>
      <c r="B1" s="1" t="s">
        <v>46</v>
      </c>
      <c r="C1" t="s">
        <v>89</v>
      </c>
    </row>
    <row r="2" spans="1:4" x14ac:dyDescent="0.35">
      <c r="A2" s="2">
        <v>1</v>
      </c>
      <c r="B2" s="2" t="s">
        <v>7</v>
      </c>
      <c r="C2" t="s">
        <v>82</v>
      </c>
      <c r="D2" t="str">
        <f>"insert into sta_mst_tdocsubtype (trantype_code,docsubtype_code,docsubtype_desc,delete_flag) values ('AM','NSDL_0001''"&amp;B2&amp;"','N');"</f>
        <v>insert into sta_mst_tdocsubtype (trantype_code,docsubtype_code,docsubtype_desc,delete_flag) values ('AM','NSDL_0001''Bonus Issue','N');</v>
      </c>
    </row>
    <row r="3" spans="1:4" x14ac:dyDescent="0.35">
      <c r="A3" s="2">
        <v>2</v>
      </c>
      <c r="B3" s="2" t="s">
        <v>10</v>
      </c>
      <c r="C3" t="s">
        <v>82</v>
      </c>
      <c r="D3" t="str">
        <f t="shared" ref="D3:D5" si="0">"insert into sta_mst_tdocsubtype (trantype_code,docsubtype_code,docsubtype_desc,delete_flag) values ('AM','NSDL_0001''"&amp;B3&amp;"','N');"</f>
        <v>insert into sta_mst_tdocsubtype (trantype_code,docsubtype_code,docsubtype_desc,delete_flag) values ('AM','NSDL_0001''Buy back of shares (Tender offer)','N');</v>
      </c>
    </row>
    <row r="4" spans="1:4" x14ac:dyDescent="0.35">
      <c r="A4" s="2">
        <v>3</v>
      </c>
      <c r="B4" s="2" t="s">
        <v>12</v>
      </c>
      <c r="C4" t="s">
        <v>82</v>
      </c>
      <c r="D4" t="str">
        <f t="shared" si="0"/>
        <v>insert into sta_mst_tdocsubtype (trantype_code,docsubtype_code,docsubtype_desc,delete_flag) values ('AM','NSDL_0001''Buy-back of shares (open market)','N');</v>
      </c>
    </row>
    <row r="5" spans="1:4" x14ac:dyDescent="0.35">
      <c r="A5" s="3">
        <v>4</v>
      </c>
      <c r="B5" s="3" t="s">
        <v>88</v>
      </c>
      <c r="C5" t="s">
        <v>82</v>
      </c>
      <c r="D5" t="str">
        <f t="shared" si="0"/>
        <v>insert into sta_mst_tdocsubtype (trantype_code,docsubtype_code,docsubtype_desc,delete_flag) values ('AM','NSDL_0001''Conversion of warrants / Pref Shares / Bonds / Debenture into equity shares','N');</v>
      </c>
    </row>
    <row r="6" spans="1:4" x14ac:dyDescent="0.35">
      <c r="A6" s="2">
        <v>5</v>
      </c>
      <c r="B6" s="2" t="s">
        <v>14</v>
      </c>
      <c r="C6" t="s">
        <v>82</v>
      </c>
      <c r="D6" t="str">
        <f>"insert into sta_mst_tdocsubtype (trantype_code,docsubtype_code,docsubtype_desc,delete_flag) values ('AM','NSDL_0001''"&amp;B6&amp;"','N');"</f>
        <v>insert into sta_mst_tdocsubtype (trantype_code,docsubtype_code,docsubtype_desc,delete_flag) values ('AM','NSDL_0001''Preferential Allotment','N');</v>
      </c>
    </row>
    <row r="7" spans="1:4" hidden="1" x14ac:dyDescent="0.35">
      <c r="A7" s="2">
        <v>6</v>
      </c>
      <c r="B7" s="2" t="s">
        <v>47</v>
      </c>
      <c r="C7" t="s">
        <v>81</v>
      </c>
    </row>
    <row r="8" spans="1:4" x14ac:dyDescent="0.35">
      <c r="A8" s="2">
        <v>7</v>
      </c>
      <c r="B8" s="2" t="s">
        <v>48</v>
      </c>
      <c r="C8" t="s">
        <v>82</v>
      </c>
      <c r="D8" t="str">
        <f>"insert into sta_mst_tdocsubtype (trantype_code,docsubtype_code,docsubtype_desc,delete_flag) values ('AM','NSDL_0001''"&amp;B8&amp;"','N');"</f>
        <v>insert into sta_mst_tdocsubtype (trantype_code,docsubtype_code,docsubtype_desc,delete_flag) values ('AM','NSDL_0001''Demerger','N');</v>
      </c>
    </row>
    <row r="9" spans="1:4" hidden="1" x14ac:dyDescent="0.35">
      <c r="A9" s="2">
        <v>8</v>
      </c>
      <c r="B9" s="2" t="s">
        <v>49</v>
      </c>
      <c r="C9" t="s">
        <v>81</v>
      </c>
    </row>
    <row r="10" spans="1:4" x14ac:dyDescent="0.35">
      <c r="A10" s="2">
        <v>9</v>
      </c>
      <c r="B10" s="2" t="s">
        <v>50</v>
      </c>
      <c r="C10" t="s">
        <v>82</v>
      </c>
      <c r="D10" t="str">
        <f>"insert into sta_mst_tdocsubtype (trantype_code,docsubtype_code,docsubtype_desc,delete_flag) values ('AM','NSDL_0001''"&amp;B10&amp;"','N');"</f>
        <v>insert into sta_mst_tdocsubtype (trantype_code,docsubtype_code,docsubtype_desc,delete_flag) values ('AM','NSDL_0001''Incorporation of lock','N');</v>
      </c>
    </row>
    <row r="11" spans="1:4" hidden="1" x14ac:dyDescent="0.35">
      <c r="A11" s="2">
        <v>10</v>
      </c>
      <c r="B11" s="2" t="s">
        <v>51</v>
      </c>
      <c r="C11" t="s">
        <v>81</v>
      </c>
    </row>
    <row r="12" spans="1:4" x14ac:dyDescent="0.35">
      <c r="A12" s="2">
        <v>11</v>
      </c>
      <c r="B12" s="2" t="s">
        <v>52</v>
      </c>
      <c r="C12" t="s">
        <v>82</v>
      </c>
      <c r="D12" t="str">
        <f t="shared" ref="D12:D13" si="1">"insert into sta_mst_tdocsubtype (trantype_code,docsubtype_code,docsubtype_desc,delete_flag) values ('AM','NSDL_0001''"&amp;B12&amp;"','N');"</f>
        <v>insert into sta_mst_tdocsubtype (trantype_code,docsubtype_code,docsubtype_desc,delete_flag) values ('AM','NSDL_0001''Issue of Warrants','N');</v>
      </c>
    </row>
    <row r="13" spans="1:4" x14ac:dyDescent="0.35">
      <c r="A13" s="2">
        <v>12</v>
      </c>
      <c r="B13" s="2" t="s">
        <v>53</v>
      </c>
      <c r="C13" t="s">
        <v>82</v>
      </c>
      <c r="D13" t="str">
        <f t="shared" si="1"/>
        <v>insert into sta_mst_tdocsubtype (trantype_code,docsubtype_code,docsubtype_desc,delete_flag) values ('AM','NSDL_0001''Right Issue','N');</v>
      </c>
    </row>
    <row r="14" spans="1:4" hidden="1" x14ac:dyDescent="0.35">
      <c r="A14" s="2">
        <v>13</v>
      </c>
      <c r="B14" s="2" t="s">
        <v>54</v>
      </c>
      <c r="C14" t="s">
        <v>81</v>
      </c>
    </row>
    <row r="15" spans="1:4" x14ac:dyDescent="0.35">
      <c r="A15" s="2">
        <v>14</v>
      </c>
      <c r="B15" s="2" t="s">
        <v>55</v>
      </c>
      <c r="C15" t="s">
        <v>82</v>
      </c>
      <c r="D15" t="str">
        <f t="shared" ref="D15:D27" si="2">"insert into sta_mst_tdocsubtype (trantype_code,docsubtype_code,docsubtype_desc,delete_flag) values ('AM','NSDL_0001''"&amp;B15&amp;"','N');"</f>
        <v>insert into sta_mst_tdocsubtype (trantype_code,docsubtype_code,docsubtype_desc,delete_flag) values ('AM','NSDL_0001''Scheme of Amalgamation','N');</v>
      </c>
    </row>
    <row r="16" spans="1:4" x14ac:dyDescent="0.35">
      <c r="A16" s="2">
        <v>15</v>
      </c>
      <c r="B16" s="2" t="s">
        <v>56</v>
      </c>
      <c r="C16" t="s">
        <v>82</v>
      </c>
      <c r="D16" t="str">
        <f t="shared" si="2"/>
        <v>insert into sta_mst_tdocsubtype (trantype_code,docsubtype_code,docsubtype_desc,delete_flag) values ('AM','NSDL_0001''Sub-division of shares','N');</v>
      </c>
    </row>
    <row r="17" spans="1:4" x14ac:dyDescent="0.35">
      <c r="A17" s="2">
        <v>16</v>
      </c>
      <c r="B17" s="3" t="s">
        <v>57</v>
      </c>
      <c r="C17" t="s">
        <v>82</v>
      </c>
      <c r="D17" t="str">
        <f t="shared" si="2"/>
        <v>insert into sta_mst_tdocsubtype (trantype_code,docsubtype_code,docsubtype_desc,delete_flag) values ('AM','NSDL_0001''Transfer of shares from Unclaimed Suspense/Escrow Account','N');</v>
      </c>
    </row>
    <row r="18" spans="1:4" x14ac:dyDescent="0.35">
      <c r="A18" s="2">
        <v>17</v>
      </c>
      <c r="B18" s="2" t="s">
        <v>58</v>
      </c>
      <c r="C18" t="s">
        <v>82</v>
      </c>
      <c r="D18" t="str">
        <f t="shared" si="2"/>
        <v>insert into sta_mst_tdocsubtype (trantype_code,docsubtype_code,docsubtype_desc,delete_flag) values ('AM','NSDL_0001''Transmission of lock-in securities','N');</v>
      </c>
    </row>
    <row r="19" spans="1:4" x14ac:dyDescent="0.35">
      <c r="A19" s="2">
        <v>18</v>
      </c>
      <c r="B19" s="2" t="s">
        <v>59</v>
      </c>
      <c r="C19" t="s">
        <v>82</v>
      </c>
      <c r="D19" t="str">
        <f t="shared" si="2"/>
        <v>insert into sta_mst_tdocsubtype (trantype_code,docsubtype_code,docsubtype_desc,delete_flag) values ('AM','NSDL_0001''Transfer of lock-in Securities','N');</v>
      </c>
    </row>
    <row r="20" spans="1:4" x14ac:dyDescent="0.35">
      <c r="A20" s="2">
        <v>19</v>
      </c>
      <c r="B20" s="2" t="s">
        <v>60</v>
      </c>
      <c r="C20" t="s">
        <v>82</v>
      </c>
      <c r="D20" t="str">
        <f t="shared" si="2"/>
        <v>insert into sta_mst_tdocsubtype (trantype_code,docsubtype_code,docsubtype_desc,delete_flag) values ('AM','NSDL_0001''Transfer of lock-in securities due to change in Demat Account','N');</v>
      </c>
    </row>
    <row r="21" spans="1:4" x14ac:dyDescent="0.35">
      <c r="A21" s="2">
        <v>20</v>
      </c>
      <c r="B21" s="2" t="s">
        <v>61</v>
      </c>
      <c r="C21" t="s">
        <v>82</v>
      </c>
      <c r="D21" t="str">
        <f t="shared" si="2"/>
        <v>insert into sta_mst_tdocsubtype (trantype_code,docsubtype_code,docsubtype_desc,delete_flag) values ('AM','NSDL_0001''Transfer of shares to Demat Account of the IEPF Authority','N');</v>
      </c>
    </row>
    <row r="22" spans="1:4" x14ac:dyDescent="0.35">
      <c r="A22" s="2">
        <v>21</v>
      </c>
      <c r="B22" s="2" t="s">
        <v>62</v>
      </c>
      <c r="C22" t="s">
        <v>82</v>
      </c>
      <c r="D22" t="str">
        <f t="shared" si="2"/>
        <v>insert into sta_mst_tdocsubtype (trantype_code,docsubtype_code,docsubtype_desc,delete_flag) values ('AM','NSDL_0001''Transfer of shares with removal of lock in','N');</v>
      </c>
    </row>
    <row r="23" spans="1:4" x14ac:dyDescent="0.35">
      <c r="A23" s="2">
        <v>22</v>
      </c>
      <c r="B23" s="2" t="s">
        <v>63</v>
      </c>
      <c r="C23" t="s">
        <v>82</v>
      </c>
      <c r="D23" t="str">
        <f t="shared" si="2"/>
        <v>insert into sta_mst_tdocsubtype (trantype_code,docsubtype_code,docsubtype_desc,delete_flag) values ('AM','NSDL_0001''Transfer of shares with Incorporation of lock in','N');</v>
      </c>
    </row>
    <row r="24" spans="1:4" x14ac:dyDescent="0.35">
      <c r="A24" s="2">
        <v>23</v>
      </c>
      <c r="B24" s="2" t="s">
        <v>64</v>
      </c>
      <c r="C24" t="s">
        <v>82</v>
      </c>
      <c r="D24" t="str">
        <f t="shared" si="2"/>
        <v>insert into sta_mst_tdocsubtype (trantype_code,docsubtype_code,docsubtype_desc,delete_flag) values ('AM','NSDL_0001''Transfer of shares pursuant to section 236','N');</v>
      </c>
    </row>
    <row r="25" spans="1:4" x14ac:dyDescent="0.35">
      <c r="A25" s="2">
        <v>24</v>
      </c>
      <c r="B25" s="2" t="s">
        <v>65</v>
      </c>
      <c r="C25" t="s">
        <v>82</v>
      </c>
      <c r="D25" t="str">
        <f t="shared" si="2"/>
        <v>insert into sta_mst_tdocsubtype (trantype_code,docsubtype_code,docsubtype_desc,delete_flag) values ('AM','NSDL_0001''Transfer of shares held under suspended ISIN','N');</v>
      </c>
    </row>
    <row r="26" spans="1:4" x14ac:dyDescent="0.35">
      <c r="A26" s="2">
        <v>25</v>
      </c>
      <c r="B26" s="2" t="s">
        <v>66</v>
      </c>
      <c r="C26" t="s">
        <v>82</v>
      </c>
      <c r="D26" t="str">
        <f t="shared" si="2"/>
        <v>insert into sta_mst_tdocsubtype (trantype_code,docsubtype_code,docsubtype_desc,delete_flag) values ('AM','NSDL_0001''Transfer of lock in','N');</v>
      </c>
    </row>
    <row r="27" spans="1:4" x14ac:dyDescent="0.35">
      <c r="A27" s="2">
        <v>26</v>
      </c>
      <c r="B27" s="2" t="s">
        <v>67</v>
      </c>
      <c r="C27" t="s">
        <v>82</v>
      </c>
      <c r="D27" t="str">
        <f t="shared" si="2"/>
        <v>insert into sta_mst_tdocsubtype (trantype_code,docsubtype_code,docsubtype_desc,delete_flag) values ('AM','NSDL_0001''Removal of lock in','N');</v>
      </c>
    </row>
    <row r="28" spans="1:4" hidden="1" x14ac:dyDescent="0.35">
      <c r="A28" s="2">
        <v>27</v>
      </c>
      <c r="B28" s="2" t="s">
        <v>68</v>
      </c>
      <c r="C28" t="s">
        <v>81</v>
      </c>
    </row>
    <row r="29" spans="1:4" x14ac:dyDescent="0.35">
      <c r="A29" s="2">
        <v>28</v>
      </c>
      <c r="B29" s="2" t="s">
        <v>69</v>
      </c>
      <c r="C29" t="s">
        <v>82</v>
      </c>
      <c r="D29" t="str">
        <f>"insert into sta_mst_tdocsubtype (trantype_code,docsubtype_code,docsubtype_desc,delete_flag) values ('AM','NSDL_0001''"&amp;B29&amp;"','N');"</f>
        <v>insert into sta_mst_tdocsubtype (trantype_code,docsubtype_code,docsubtype_desc,delete_flag) values ('AM','NSDL_0001''Rectification','N');</v>
      </c>
    </row>
    <row r="30" spans="1:4" hidden="1" x14ac:dyDescent="0.35">
      <c r="A30" s="2">
        <v>29</v>
      </c>
      <c r="B30" s="2" t="s">
        <v>70</v>
      </c>
      <c r="C30" t="s">
        <v>81</v>
      </c>
    </row>
    <row r="31" spans="1:4" hidden="1" x14ac:dyDescent="0.35">
      <c r="A31" s="2">
        <v>30</v>
      </c>
      <c r="B31" s="2" t="s">
        <v>71</v>
      </c>
      <c r="C31" t="s">
        <v>81</v>
      </c>
    </row>
    <row r="32" spans="1:4" x14ac:dyDescent="0.35">
      <c r="A32" s="2">
        <v>31</v>
      </c>
      <c r="B32" s="2" t="s">
        <v>72</v>
      </c>
      <c r="C32" t="s">
        <v>82</v>
      </c>
      <c r="D32" t="str">
        <f t="shared" ref="D32:D33" si="3">"insert into sta_mst_tdocsubtype (trantype_code,docsubtype_code,docsubtype_desc,delete_flag) values ('AM','NSDL_0001''"&amp;B32&amp;"','N');"</f>
        <v>insert into sta_mst_tdocsubtype (trantype_code,docsubtype_code,docsubtype_desc,delete_flag) values ('AM','NSDL_0001''Preference Shares Redemption','N');</v>
      </c>
    </row>
    <row r="33" spans="1:4" x14ac:dyDescent="0.35">
      <c r="A33" s="2">
        <v>32</v>
      </c>
      <c r="B33" s="2" t="s">
        <v>73</v>
      </c>
      <c r="C33" t="s">
        <v>82</v>
      </c>
      <c r="D33" t="str">
        <f t="shared" si="3"/>
        <v>insert into sta_mst_tdocsubtype (trantype_code,docsubtype_code,docsubtype_desc,delete_flag) values ('AM','NSDL_0001''Preference Shares Issue','N');</v>
      </c>
    </row>
    <row r="34" spans="1:4" hidden="1" x14ac:dyDescent="0.35">
      <c r="A34" s="2">
        <v>33</v>
      </c>
      <c r="B34" s="2" t="s">
        <v>74</v>
      </c>
      <c r="C34" t="s">
        <v>81</v>
      </c>
    </row>
    <row r="35" spans="1:4" x14ac:dyDescent="0.35">
      <c r="A35" s="2">
        <v>34</v>
      </c>
      <c r="B35" s="2" t="s">
        <v>75</v>
      </c>
      <c r="C35" t="s">
        <v>82</v>
      </c>
      <c r="D35" t="str">
        <f t="shared" ref="D35:D41" si="4">"insert into sta_mst_tdocsubtype (trantype_code,docsubtype_code,docsubtype_desc,delete_flag) values ('AM','NSDL_0001''"&amp;B35&amp;"','N');"</f>
        <v>insert into sta_mst_tdocsubtype (trantype_code,docsubtype_code,docsubtype_desc,delete_flag) values ('AM','NSDL_0001''Issue of ESOP','N');</v>
      </c>
    </row>
    <row r="36" spans="1:4" x14ac:dyDescent="0.35">
      <c r="A36" s="2">
        <v>35</v>
      </c>
      <c r="B36" s="2" t="s">
        <v>76</v>
      </c>
      <c r="C36" t="s">
        <v>82</v>
      </c>
      <c r="D36" t="str">
        <f t="shared" si="4"/>
        <v>insert into sta_mst_tdocsubtype (trantype_code,docsubtype_code,docsubtype_desc,delete_flag) values ('AM','NSDL_0001''Initial Subscription','N');</v>
      </c>
    </row>
    <row r="37" spans="1:4" x14ac:dyDescent="0.35">
      <c r="A37" s="2">
        <v>36</v>
      </c>
      <c r="B37" s="2" t="s">
        <v>77</v>
      </c>
      <c r="C37" t="s">
        <v>82</v>
      </c>
      <c r="D37" t="str">
        <f t="shared" si="4"/>
        <v>insert into sta_mst_tdocsubtype (trantype_code,docsubtype_code,docsubtype_desc,delete_flag) values ('AM','NSDL_0001''IBC Schemes','N');</v>
      </c>
    </row>
    <row r="38" spans="1:4" x14ac:dyDescent="0.35">
      <c r="A38" s="2">
        <v>37</v>
      </c>
      <c r="B38" s="2" t="s">
        <v>78</v>
      </c>
      <c r="C38" t="s">
        <v>82</v>
      </c>
      <c r="D38" t="str">
        <f t="shared" si="4"/>
        <v>insert into sta_mst_tdocsubtype (trantype_code,docsubtype_code,docsubtype_desc,delete_flag) values ('AM','NSDL_0001''Fraction entitlement','N');</v>
      </c>
    </row>
    <row r="39" spans="1:4" x14ac:dyDescent="0.35">
      <c r="A39" s="2">
        <v>38</v>
      </c>
      <c r="B39" s="2" t="s">
        <v>79</v>
      </c>
      <c r="C39" t="s">
        <v>82</v>
      </c>
      <c r="D39" t="str">
        <f t="shared" si="4"/>
        <v>insert into sta_mst_tdocsubtype (trantype_code,docsubtype_code,docsubtype_desc,delete_flag) values ('AM','NSDL_0001''Consolidation of Shares','N');</v>
      </c>
    </row>
    <row r="40" spans="1:4" x14ac:dyDescent="0.35">
      <c r="A40" s="2">
        <v>39</v>
      </c>
      <c r="B40" s="2" t="s">
        <v>80</v>
      </c>
      <c r="C40" t="s">
        <v>82</v>
      </c>
      <c r="D40" t="str">
        <f t="shared" si="4"/>
        <v>insert into sta_mst_tdocsubtype (trantype_code,docsubtype_code,docsubtype_desc,delete_flag) values ('AM','NSDL_0001''Capital Reduction','N');</v>
      </c>
    </row>
  </sheetData>
  <autoFilter ref="C1:C40">
    <filterColumn colId="0">
      <filters>
        <filter val="OK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30"/>
  <sheetViews>
    <sheetView tabSelected="1" workbookViewId="0">
      <selection activeCell="E18" sqref="E18"/>
    </sheetView>
  </sheetViews>
  <sheetFormatPr defaultRowHeight="14.5" x14ac:dyDescent="0.35"/>
  <cols>
    <col min="1" max="1" width="5.1796875" bestFit="1" customWidth="1"/>
    <col min="2" max="2" width="108.08984375" bestFit="1" customWidth="1"/>
  </cols>
  <sheetData>
    <row r="1" spans="1:4" x14ac:dyDescent="0.35">
      <c r="A1" s="1" t="s">
        <v>44</v>
      </c>
      <c r="B1" s="1" t="s">
        <v>45</v>
      </c>
      <c r="C1" t="s">
        <v>84</v>
      </c>
    </row>
    <row r="2" spans="1:4" hidden="1" x14ac:dyDescent="0.35">
      <c r="A2" s="2">
        <v>1</v>
      </c>
      <c r="B2" s="2" t="s">
        <v>24</v>
      </c>
      <c r="C2" t="s">
        <v>81</v>
      </c>
    </row>
    <row r="3" spans="1:4" hidden="1" x14ac:dyDescent="0.35">
      <c r="A3" s="2">
        <v>2</v>
      </c>
      <c r="B3" s="2" t="s">
        <v>25</v>
      </c>
      <c r="C3" t="s">
        <v>81</v>
      </c>
    </row>
    <row r="4" spans="1:4" x14ac:dyDescent="0.35">
      <c r="A4" s="2">
        <v>3</v>
      </c>
      <c r="B4" s="2" t="s">
        <v>7</v>
      </c>
      <c r="C4" t="s">
        <v>82</v>
      </c>
      <c r="D4" t="str">
        <f>"insert into sta_mst_tdocsubtype (trantype_code,docsubtype_code,docsubtype_desc,delete_flag) values ('AM','NSDL_0001''"&amp;B4&amp;"','N');"</f>
        <v>insert into sta_mst_tdocsubtype (trantype_code,docsubtype_code,docsubtype_desc,delete_flag) values ('AM','NSDL_0001''Bonus Issue','N');</v>
      </c>
    </row>
    <row r="5" spans="1:4" x14ac:dyDescent="0.35">
      <c r="A5" s="2">
        <v>4</v>
      </c>
      <c r="B5" s="2" t="s">
        <v>17</v>
      </c>
      <c r="C5" t="s">
        <v>82</v>
      </c>
      <c r="D5" t="str">
        <f t="shared" ref="D5:D10" si="0">"insert into sta_mst_tdocsubtype (trantype_code,docsubtype_code,docsubtype_desc,delete_flag) values ('AM','NSDL_0001''"&amp;B5&amp;"','N');"</f>
        <v>insert into sta_mst_tdocsubtype (trantype_code,docsubtype_code,docsubtype_desc,delete_flag) values ('AM','NSDL_0001''Rights Issue','N');</v>
      </c>
    </row>
    <row r="6" spans="1:4" x14ac:dyDescent="0.35">
      <c r="A6" s="2">
        <v>5</v>
      </c>
      <c r="B6" s="2" t="s">
        <v>19</v>
      </c>
      <c r="C6" t="s">
        <v>82</v>
      </c>
      <c r="D6" t="str">
        <f t="shared" si="0"/>
        <v>insert into sta_mst_tdocsubtype (trantype_code,docsubtype_code,docsubtype_desc,delete_flag) values ('AM','NSDL_0001''ESOS/ESOP/ASOP','N');</v>
      </c>
    </row>
    <row r="7" spans="1:4" x14ac:dyDescent="0.35">
      <c r="A7" s="2">
        <v>6</v>
      </c>
      <c r="B7" s="2" t="s">
        <v>21</v>
      </c>
      <c r="C7" t="s">
        <v>82</v>
      </c>
      <c r="D7" t="str">
        <f t="shared" si="0"/>
        <v>insert into sta_mst_tdocsubtype (trantype_code,docsubtype_code,docsubtype_desc,delete_flag) values ('AM','NSDL_0001''Preferential Allotment / QIP Allotment','N');</v>
      </c>
    </row>
    <row r="8" spans="1:4" x14ac:dyDescent="0.35">
      <c r="A8" s="2">
        <v>7</v>
      </c>
      <c r="B8" s="2" t="s">
        <v>23</v>
      </c>
      <c r="C8" t="s">
        <v>82</v>
      </c>
      <c r="D8" t="str">
        <f t="shared" si="0"/>
        <v>insert into sta_mst_tdocsubtype (trantype_code,docsubtype_code,docsubtype_desc,delete_flag) values ('AM','NSDL_0001''Subscription to MOA (Memorandum of Association)','N');</v>
      </c>
    </row>
    <row r="9" spans="1:4" x14ac:dyDescent="0.35">
      <c r="A9" s="2">
        <v>8</v>
      </c>
      <c r="B9" s="3" t="s">
        <v>83</v>
      </c>
      <c r="C9" t="s">
        <v>82</v>
      </c>
      <c r="D9" t="str">
        <f t="shared" si="0"/>
        <v>insert into sta_mst_tdocsubtype (trantype_code,docsubtype_code,docsubtype_desc,delete_flag) values ('AM','NSDL_0001''Reduction in Share Capital','N');</v>
      </c>
    </row>
    <row r="10" spans="1:4" x14ac:dyDescent="0.35">
      <c r="A10" s="2">
        <v>9</v>
      </c>
      <c r="B10" s="2" t="s">
        <v>26</v>
      </c>
      <c r="C10" t="s">
        <v>82</v>
      </c>
      <c r="D10" t="str">
        <f>"insert into sta_mst_tdocsubtype (trantype_code,docsubtype_code,docsubtype_desc,delete_flag) values ('AM','NSDL_0002''"&amp;B10&amp;"','N');"</f>
        <v>insert into sta_mst_tdocsubtype (trantype_code,docsubtype_code,docsubtype_desc,delete_flag) values ('AM','NSDL_0002''Sub-Division Consolidation','N');</v>
      </c>
    </row>
    <row r="11" spans="1:4" hidden="1" x14ac:dyDescent="0.35">
      <c r="A11" s="2">
        <v>10</v>
      </c>
      <c r="B11" s="2" t="s">
        <v>27</v>
      </c>
      <c r="C11" t="s">
        <v>81</v>
      </c>
    </row>
    <row r="12" spans="1:4" x14ac:dyDescent="0.35">
      <c r="A12" s="2">
        <v>11</v>
      </c>
      <c r="B12" s="2" t="s">
        <v>28</v>
      </c>
      <c r="C12" t="s">
        <v>82</v>
      </c>
      <c r="D12" t="str">
        <f>"insert into sta_mst_tdocsubtype (trantype_code,docsubtype_code,docsubtype_desc,delete_flag) values ('AM','NSDL_0003''"&amp;B12&amp;"','N');"</f>
        <v>insert into sta_mst_tdocsubtype (trantype_code,docsubtype_code,docsubtype_desc,delete_flag) values ('AM','NSDL_0003''Conversion of Debts / Warrants / Convertible Notes / Preference Shares','N');</v>
      </c>
    </row>
    <row r="13" spans="1:4" hidden="1" x14ac:dyDescent="0.35">
      <c r="A13" s="2">
        <v>12</v>
      </c>
      <c r="B13" s="3" t="s">
        <v>29</v>
      </c>
      <c r="C13" t="s">
        <v>81</v>
      </c>
    </row>
    <row r="14" spans="1:4" x14ac:dyDescent="0.35">
      <c r="A14" s="2">
        <v>13</v>
      </c>
      <c r="B14" s="2" t="s">
        <v>30</v>
      </c>
      <c r="C14" t="s">
        <v>82</v>
      </c>
      <c r="D14" t="str">
        <f>"insert into sta_mst_tdocsubtype (trantype_code,docsubtype_code,docsubtype_desc,delete_flag) values ('AM','NSDL_0004''"&amp;B14&amp;"','N');"</f>
        <v>insert into sta_mst_tdocsubtype (trantype_code,docsubtype_code,docsubtype_desc,delete_flag) values ('AM','NSDL_0004''Allotment / Redemption of Commercial Papers','N');</v>
      </c>
    </row>
    <row r="15" spans="1:4" x14ac:dyDescent="0.35">
      <c r="A15" s="2">
        <v>14</v>
      </c>
      <c r="B15" s="3" t="s">
        <v>85</v>
      </c>
      <c r="C15" t="s">
        <v>82</v>
      </c>
      <c r="D15" t="str">
        <f>"insert into sta_mst_tdocsubtype (trantype_code,docsubtype_code,docsubtype_desc,delete_flag) values ('AM','NSDL_0005''"&amp;B15&amp;"','N');"</f>
        <v>insert into sta_mst_tdocsubtype (trantype_code,docsubtype_code,docsubtype_desc,delete_flag) values ('AM','NSDL_0005''Allotment / Redemption of Deb / Bonds / Pref Shares','N');</v>
      </c>
    </row>
    <row r="16" spans="1:4" hidden="1" x14ac:dyDescent="0.35">
      <c r="A16" s="2">
        <v>15</v>
      </c>
      <c r="B16" s="2" t="s">
        <v>31</v>
      </c>
      <c r="C16" t="s">
        <v>81</v>
      </c>
    </row>
    <row r="17" spans="1:4" x14ac:dyDescent="0.35">
      <c r="A17" s="2">
        <v>16</v>
      </c>
      <c r="B17" s="2" t="s">
        <v>32</v>
      </c>
      <c r="C17" t="s">
        <v>82</v>
      </c>
      <c r="D17" t="str">
        <f t="shared" ref="D17:D19" si="1">"insert into sta_mst_tdocsubtype (trantype_code,docsubtype_code,docsubtype_desc,delete_flag) values ('AM','NSDL_0001''"&amp;B17&amp;"','N');"</f>
        <v>insert into sta_mst_tdocsubtype (trantype_code,docsubtype_code,docsubtype_desc,delete_flag) values ('AM','NSDL_0001''Extinguishment of Equity Shares Bought Back','N');</v>
      </c>
    </row>
    <row r="18" spans="1:4" x14ac:dyDescent="0.35">
      <c r="A18" s="2">
        <v>17</v>
      </c>
      <c r="B18" s="2" t="s">
        <v>33</v>
      </c>
      <c r="C18" t="s">
        <v>82</v>
      </c>
      <c r="D18" t="str">
        <f t="shared" si="1"/>
        <v>insert into sta_mst_tdocsubtype (trantype_code,docsubtype_code,docsubtype_desc,delete_flag) values ('AM','NSDL_0001''Others (Option/Rejected Cases / Debit / Credit Corporate Action)','N');</v>
      </c>
    </row>
    <row r="19" spans="1:4" x14ac:dyDescent="0.35">
      <c r="A19" s="2">
        <v>18</v>
      </c>
      <c r="B19" s="3" t="s">
        <v>86</v>
      </c>
      <c r="C19" t="s">
        <v>82</v>
      </c>
      <c r="D19" t="str">
        <f t="shared" si="1"/>
        <v>insert into sta_mst_tdocsubtype (trantype_code,docsubtype_code,docsubtype_desc,delete_flag) values ('AM','NSDL_0001''Others (Debit / Credit CA / Rectification of Erroneous CA)','N');</v>
      </c>
    </row>
    <row r="20" spans="1:4" hidden="1" x14ac:dyDescent="0.35">
      <c r="A20" s="2">
        <v>19</v>
      </c>
      <c r="B20" s="2" t="s">
        <v>34</v>
      </c>
      <c r="C20" t="s">
        <v>81</v>
      </c>
    </row>
    <row r="21" spans="1:4" hidden="1" x14ac:dyDescent="0.35">
      <c r="A21" s="2">
        <v>20</v>
      </c>
      <c r="B21" s="2" t="s">
        <v>35</v>
      </c>
      <c r="C21" t="s">
        <v>81</v>
      </c>
    </row>
    <row r="22" spans="1:4" hidden="1" x14ac:dyDescent="0.35">
      <c r="A22" s="2">
        <v>21</v>
      </c>
      <c r="B22" s="2" t="s">
        <v>36</v>
      </c>
      <c r="C22" t="s">
        <v>81</v>
      </c>
    </row>
    <row r="23" spans="1:4" hidden="1" x14ac:dyDescent="0.35">
      <c r="A23" s="2">
        <v>22</v>
      </c>
      <c r="B23" s="2" t="s">
        <v>37</v>
      </c>
      <c r="C23" t="s">
        <v>81</v>
      </c>
    </row>
    <row r="24" spans="1:4" hidden="1" x14ac:dyDescent="0.35">
      <c r="A24" s="2">
        <v>23</v>
      </c>
      <c r="B24" s="2" t="s">
        <v>38</v>
      </c>
      <c r="C24" t="s">
        <v>81</v>
      </c>
    </row>
    <row r="25" spans="1:4" x14ac:dyDescent="0.35">
      <c r="A25" s="2">
        <v>24</v>
      </c>
      <c r="B25" s="3" t="s">
        <v>87</v>
      </c>
      <c r="C25" t="s">
        <v>82</v>
      </c>
      <c r="D25" t="str">
        <f>"insert into sta_mst_tdocsubtype (trantype_code,docsubtype_code,docsubtype_desc,delete_flag) values ('AM','NSDL_0001''"&amp;B25&amp;"','N');"</f>
        <v>insert into sta_mst_tdocsubtype (trantype_code,docsubtype_code,docsubtype_desc,delete_flag) values ('AM','NSDL_0001''Docs for Additional / Pref Allotment of Equity Shares (Unlisted Comp)','N');</v>
      </c>
    </row>
    <row r="26" spans="1:4" hidden="1" x14ac:dyDescent="0.35">
      <c r="A26" s="2">
        <v>25</v>
      </c>
      <c r="B26" s="2" t="s">
        <v>39</v>
      </c>
      <c r="C26" t="s">
        <v>81</v>
      </c>
    </row>
    <row r="27" spans="1:4" x14ac:dyDescent="0.35">
      <c r="A27" s="2">
        <v>26</v>
      </c>
      <c r="B27" s="2" t="s">
        <v>40</v>
      </c>
      <c r="C27" t="s">
        <v>82</v>
      </c>
      <c r="D27" t="str">
        <f t="shared" ref="D27:D30" si="2">"insert into sta_mst_tdocsubtype (trantype_code,docsubtype_code,docsubtype_desc,delete_flag) values ('AM','NSDL_0001''"&amp;B27&amp;"','N');"</f>
        <v>insert into sta_mst_tdocsubtype (trantype_code,docsubtype_code,docsubtype_desc,delete_flag) values ('AM','NSDL_0001''Transfer of Lock-in Shares (In case of Account Shifting)','N');</v>
      </c>
    </row>
    <row r="28" spans="1:4" x14ac:dyDescent="0.35">
      <c r="A28" s="2">
        <v>27</v>
      </c>
      <c r="B28" s="2" t="s">
        <v>41</v>
      </c>
      <c r="C28" t="s">
        <v>82</v>
      </c>
      <c r="D28" t="str">
        <f t="shared" si="2"/>
        <v>insert into sta_mst_tdocsubtype (trantype_code,docsubtype_code,docsubtype_desc,delete_flag) values ('AM','NSDL_0001''Transfer of Shares to IEPF Account','N');</v>
      </c>
    </row>
    <row r="29" spans="1:4" x14ac:dyDescent="0.35">
      <c r="A29" s="2">
        <v>28</v>
      </c>
      <c r="B29" s="2" t="s">
        <v>42</v>
      </c>
      <c r="C29" t="s">
        <v>82</v>
      </c>
      <c r="D29" t="str">
        <f t="shared" si="2"/>
        <v>insert into sta_mst_tdocsubtype (trantype_code,docsubtype_code,docsubtype_desc,delete_flag) values ('AM','NSDL_0001''Transfer of Lock-in securities','N');</v>
      </c>
    </row>
    <row r="30" spans="1:4" x14ac:dyDescent="0.35">
      <c r="A30" s="2">
        <v>29</v>
      </c>
      <c r="B30" s="2" t="s">
        <v>43</v>
      </c>
      <c r="C30" t="s">
        <v>82</v>
      </c>
      <c r="D30" t="str">
        <f t="shared" si="2"/>
        <v>insert into sta_mst_tdocsubtype (trantype_code,docsubtype_code,docsubtype_desc,delete_flag) values ('AM','NSDL_0001''Incorporation/ Extension of Lock-in securities','N');</v>
      </c>
    </row>
  </sheetData>
  <autoFilter ref="C1:C30">
    <filterColumn colId="0">
      <filters>
        <filter val="OK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CA-DocsubType Master</vt:lpstr>
      <vt:lpstr>NSDL</vt:lpstr>
      <vt:lpstr>CDSL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Raja s</dc:creator>
  <cp:lastModifiedBy>Mohan Raja s</cp:lastModifiedBy>
  <dcterms:created xsi:type="dcterms:W3CDTF">2024-11-20T10:48:06Z</dcterms:created>
  <dcterms:modified xsi:type="dcterms:W3CDTF">2024-11-20T12:35:15Z</dcterms:modified>
</cp:coreProperties>
</file>